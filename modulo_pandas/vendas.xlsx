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TI-003\Documents\30. Senai_SC\turma_2\"/>
    </mc:Choice>
  </mc:AlternateContent>
  <xr:revisionPtr revIDLastSave="0" documentId="13_ncr:1_{44EC9EA7-6E69-4C00-B788-7EBFC2A41E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as" sheetId="1" r:id="rId1"/>
  </sheets>
  <calcPr calcId="191029"/>
</workbook>
</file>

<file path=xl/calcChain.xml><?xml version="1.0" encoding="utf-8"?>
<calcChain xmlns="http://schemas.openxmlformats.org/spreadsheetml/2006/main">
  <c r="Q2" i="1" l="1"/>
  <c r="Q8" i="1"/>
  <c r="O21" i="1"/>
  <c r="O20" i="1"/>
  <c r="O19" i="1"/>
  <c r="P18" i="1"/>
  <c r="Q18" i="1" s="1"/>
  <c r="O18" i="1"/>
  <c r="Q17" i="1"/>
  <c r="P17" i="1"/>
  <c r="O17" i="1"/>
  <c r="O16" i="1"/>
  <c r="P16" i="1" s="1"/>
  <c r="Q16" i="1" s="1"/>
  <c r="O15" i="1"/>
  <c r="O14" i="1"/>
  <c r="P14" i="1" s="1"/>
  <c r="Q14" i="1" s="1"/>
  <c r="O13" i="1"/>
  <c r="P13" i="1" s="1"/>
  <c r="O12" i="1"/>
  <c r="P11" i="1"/>
  <c r="Q11" i="1" s="1"/>
  <c r="O11" i="1"/>
  <c r="O10" i="1"/>
  <c r="P10" i="1" s="1"/>
  <c r="Q10" i="1" s="1"/>
  <c r="P9" i="1"/>
  <c r="Q9" i="1" s="1"/>
  <c r="O9" i="1"/>
  <c r="O8" i="1"/>
  <c r="O7" i="1"/>
  <c r="O6" i="1"/>
  <c r="P5" i="1"/>
  <c r="O5" i="1"/>
  <c r="Q5" i="1" s="1"/>
  <c r="O4" i="1"/>
  <c r="O3" i="1"/>
  <c r="O2" i="1"/>
  <c r="P2" i="1" s="1"/>
  <c r="Q4" i="1" l="1"/>
  <c r="Q20" i="1"/>
  <c r="Q21" i="1"/>
  <c r="P7" i="1"/>
  <c r="Q7" i="1" s="1"/>
  <c r="P8" i="1"/>
  <c r="P3" i="1"/>
  <c r="Q3" i="1" s="1"/>
  <c r="P19" i="1"/>
  <c r="Q19" i="1" s="1"/>
  <c r="P12" i="1"/>
  <c r="Q12" i="1" s="1"/>
  <c r="Q13" i="1"/>
  <c r="P4" i="1"/>
  <c r="P20" i="1"/>
  <c r="P15" i="1"/>
  <c r="Q15" i="1" s="1"/>
  <c r="P21" i="1"/>
  <c r="P6" i="1"/>
  <c r="Q6" i="1" s="1"/>
</calcChain>
</file>

<file path=xl/sharedStrings.xml><?xml version="1.0" encoding="utf-8"?>
<sst xmlns="http://schemas.openxmlformats.org/spreadsheetml/2006/main" count="217" uniqueCount="86">
  <si>
    <t>id_venda</t>
  </si>
  <si>
    <t>data_venda</t>
  </si>
  <si>
    <t>id_produto</t>
  </si>
  <si>
    <t>produto</t>
  </si>
  <si>
    <t>categoria</t>
  </si>
  <si>
    <t>quantidade</t>
  </si>
  <si>
    <t>preco_unitario</t>
  </si>
  <si>
    <t>desconto_pct</t>
  </si>
  <si>
    <t>municipio</t>
  </si>
  <si>
    <t>regiao_sc</t>
  </si>
  <si>
    <t>vendedor</t>
  </si>
  <si>
    <t>canal_venda</t>
  </si>
  <si>
    <t>forma_pagamento</t>
  </si>
  <si>
    <t>tipo_cliente</t>
  </si>
  <si>
    <t>valor_bruto</t>
  </si>
  <si>
    <t>valor_desconto</t>
  </si>
  <si>
    <t>valor_liquido</t>
  </si>
  <si>
    <t>V001</t>
  </si>
  <si>
    <t>P001</t>
  </si>
  <si>
    <t>Notebook Pro 15</t>
  </si>
  <si>
    <t>Informática</t>
  </si>
  <si>
    <t>Florianópolis</t>
  </si>
  <si>
    <t>Grande Florianópolis</t>
  </si>
  <si>
    <t>Ana Souza</t>
  </si>
  <si>
    <t>Loja Física</t>
  </si>
  <si>
    <t>Cartão de Crédito</t>
  </si>
  <si>
    <t>Pessoa Física</t>
  </si>
  <si>
    <t>V002</t>
  </si>
  <si>
    <t>P003</t>
  </si>
  <si>
    <t>Mouse Sem Fio</t>
  </si>
  <si>
    <t>Periféricos</t>
  </si>
  <si>
    <t>Joinville</t>
  </si>
  <si>
    <t>Norte</t>
  </si>
  <si>
    <t>Bruno Lima</t>
  </si>
  <si>
    <t>Online</t>
  </si>
  <si>
    <t>PIX</t>
  </si>
  <si>
    <t>V003</t>
  </si>
  <si>
    <t>P004</t>
  </si>
  <si>
    <t>Teclado Mecânico</t>
  </si>
  <si>
    <t>Blumenau</t>
  </si>
  <si>
    <t>Vale do Itajaí</t>
  </si>
  <si>
    <t>Carla Mendes</t>
  </si>
  <si>
    <t>Pessoa Jurídica</t>
  </si>
  <si>
    <t>V004</t>
  </si>
  <si>
    <t>P002</t>
  </si>
  <si>
    <t>Monitor 24</t>
  </si>
  <si>
    <t>Chapecó</t>
  </si>
  <si>
    <t>Oeste</t>
  </si>
  <si>
    <t>Diego Martins</t>
  </si>
  <si>
    <t>Representante</t>
  </si>
  <si>
    <t>Boleto</t>
  </si>
  <si>
    <t>V005</t>
  </si>
  <si>
    <t>P005</t>
  </si>
  <si>
    <t>Headset USB</t>
  </si>
  <si>
    <t>Criciúma</t>
  </si>
  <si>
    <t>Sul</t>
  </si>
  <si>
    <t>Eduarda Alves</t>
  </si>
  <si>
    <t>V006</t>
  </si>
  <si>
    <t>P006</t>
  </si>
  <si>
    <t>Webcam Full HD</t>
  </si>
  <si>
    <t>Itajaí</t>
  </si>
  <si>
    <t>V007</t>
  </si>
  <si>
    <t>P007</t>
  </si>
  <si>
    <t>SSD 1TB</t>
  </si>
  <si>
    <t>São José</t>
  </si>
  <si>
    <t>V008</t>
  </si>
  <si>
    <t>P008</t>
  </si>
  <si>
    <t>Cadeira Ergonômica</t>
  </si>
  <si>
    <t>Móveis</t>
  </si>
  <si>
    <t>Lages</t>
  </si>
  <si>
    <t>Serra</t>
  </si>
  <si>
    <t>V009</t>
  </si>
  <si>
    <t>Jaraguá do Sul</t>
  </si>
  <si>
    <t>V010</t>
  </si>
  <si>
    <t>Balneário Camboriú</t>
  </si>
  <si>
    <t>V011</t>
  </si>
  <si>
    <t>V012</t>
  </si>
  <si>
    <t>V013</t>
  </si>
  <si>
    <t>Cartão de Débito</t>
  </si>
  <si>
    <t>V014</t>
  </si>
  <si>
    <t>V015</t>
  </si>
  <si>
    <t>V016</t>
  </si>
  <si>
    <t>V017</t>
  </si>
  <si>
    <t>V018</t>
  </si>
  <si>
    <t>V019</t>
  </si>
  <si>
    <t>V020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</si>
</sst>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ndasSC" displayName="TabelaVendasSC" ref="A1:Q21" totalsRowShown="0" headerRowDxfId="1" dataDxfId="0">
  <tableColumns count="17">
    <tableColumn id="1" xr3:uid="{00000000-0010-0000-0000-000001000000}" name="id_venda" dataDxfId="18"/>
    <tableColumn id="2" xr3:uid="{00000000-0010-0000-0000-000002000000}" name="data_venda" dataDxfId="17"/>
    <tableColumn id="3" xr3:uid="{00000000-0010-0000-0000-000003000000}" name="id_produto" dataDxfId="16"/>
    <tableColumn id="4" xr3:uid="{00000000-0010-0000-0000-000004000000}" name="produto" dataDxfId="15"/>
    <tableColumn id="5" xr3:uid="{00000000-0010-0000-0000-000005000000}" name="categoria" dataDxfId="14"/>
    <tableColumn id="6" xr3:uid="{00000000-0010-0000-0000-000006000000}" name="quantidade" dataDxfId="13"/>
    <tableColumn id="7" xr3:uid="{00000000-0010-0000-0000-000007000000}" name="preco_unitario" dataDxfId="12"/>
    <tableColumn id="8" xr3:uid="{00000000-0010-0000-0000-000008000000}" name="desconto_pct" dataDxfId="11"/>
    <tableColumn id="9" xr3:uid="{00000000-0010-0000-0000-000009000000}" name="municipio" dataDxfId="10"/>
    <tableColumn id="10" xr3:uid="{00000000-0010-0000-0000-00000A000000}" name="regiao_sc" dataDxfId="9"/>
    <tableColumn id="11" xr3:uid="{00000000-0010-0000-0000-00000B000000}" name="vendedor" dataDxfId="8"/>
    <tableColumn id="12" xr3:uid="{00000000-0010-0000-0000-00000C000000}" name="canal_venda" dataDxfId="7"/>
    <tableColumn id="13" xr3:uid="{00000000-0010-0000-0000-00000D000000}" name="forma_pagamento" dataDxfId="6"/>
    <tableColumn id="14" xr3:uid="{00000000-0010-0000-0000-00000E000000}" name="tipo_cliente" dataDxfId="5"/>
    <tableColumn id="15" xr3:uid="{00000000-0010-0000-0000-00000F000000}" name="valor_bruto" dataDxfId="4"/>
    <tableColumn id="16" xr3:uid="{00000000-0010-0000-0000-000010000000}" name="valor_desconto" dataDxfId="3"/>
    <tableColumn id="17" xr3:uid="{00000000-0010-0000-0000-000011000000}" name="valor_liqui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D1" workbookViewId="0">
      <selection activeCell="N29" sqref="N29"/>
    </sheetView>
  </sheetViews>
  <sheetFormatPr defaultRowHeight="14.25"/>
  <cols>
    <col min="1" max="1" width="9" style="6" bestFit="1" customWidth="1"/>
    <col min="2" max="2" width="13" style="6" customWidth="1"/>
    <col min="3" max="3" width="12" style="6" customWidth="1"/>
    <col min="4" max="4" width="22" style="6" customWidth="1"/>
    <col min="5" max="5" width="9.875" style="6" bestFit="1" customWidth="1"/>
    <col min="6" max="6" width="10.75" style="6" bestFit="1" customWidth="1"/>
    <col min="7" max="7" width="13.875" style="6" bestFit="1" customWidth="1"/>
    <col min="8" max="8" width="13" style="6" bestFit="1" customWidth="1"/>
    <col min="9" max="9" width="17.25" style="6" bestFit="1" customWidth="1"/>
    <col min="10" max="10" width="17.875" style="6" bestFit="1" customWidth="1"/>
    <col min="11" max="11" width="12.625" style="6" bestFit="1" customWidth="1"/>
    <col min="12" max="12" width="16" style="6" customWidth="1"/>
    <col min="13" max="13" width="16.75" style="6" bestFit="1" customWidth="1"/>
    <col min="14" max="14" width="14" style="6" bestFit="1" customWidth="1"/>
    <col min="15" max="15" width="16.625" style="6" customWidth="1"/>
    <col min="16" max="17" width="17" style="6" customWidth="1"/>
  </cols>
  <sheetData>
    <row r="1" spans="1:1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46235</v>
      </c>
      <c r="C2" s="2" t="s">
        <v>18</v>
      </c>
      <c r="D2" s="2" t="s">
        <v>19</v>
      </c>
      <c r="E2" s="2" t="s">
        <v>20</v>
      </c>
      <c r="F2" s="2">
        <v>2</v>
      </c>
      <c r="G2" s="4">
        <v>3899.9</v>
      </c>
      <c r="H2" s="5">
        <v>0.05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4">
        <f t="shared" ref="O2:O21" si="0">F2*G2</f>
        <v>7799.8</v>
      </c>
      <c r="P2" s="4">
        <f t="shared" ref="P2:P21" si="1">O2*H2</f>
        <v>389.99</v>
      </c>
      <c r="Q2" s="4">
        <f t="shared" ref="Q2:Q21" si="2">O2-P2</f>
        <v>7409.81</v>
      </c>
    </row>
    <row r="3" spans="1:17">
      <c r="A3" s="2" t="s">
        <v>27</v>
      </c>
      <c r="B3" s="3">
        <v>46236</v>
      </c>
      <c r="C3" s="2" t="s">
        <v>28</v>
      </c>
      <c r="D3" s="2" t="s">
        <v>29</v>
      </c>
      <c r="E3" s="2" t="s">
        <v>30</v>
      </c>
      <c r="F3" s="2">
        <v>8</v>
      </c>
      <c r="G3" s="4">
        <v>119.9</v>
      </c>
      <c r="H3" s="5">
        <v>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26</v>
      </c>
      <c r="O3" s="4">
        <f t="shared" si="0"/>
        <v>959.2</v>
      </c>
      <c r="P3" s="4">
        <f t="shared" si="1"/>
        <v>0</v>
      </c>
      <c r="Q3" s="4">
        <f t="shared" si="2"/>
        <v>959.2</v>
      </c>
    </row>
    <row r="4" spans="1:17">
      <c r="A4" s="2" t="s">
        <v>36</v>
      </c>
      <c r="B4" s="3">
        <v>46237</v>
      </c>
      <c r="C4" s="2" t="s">
        <v>37</v>
      </c>
      <c r="D4" s="2" t="s">
        <v>38</v>
      </c>
      <c r="E4" s="2" t="s">
        <v>30</v>
      </c>
      <c r="F4" s="2">
        <v>4</v>
      </c>
      <c r="G4" s="4">
        <v>289.89999999999998</v>
      </c>
      <c r="H4" s="5">
        <v>0.1</v>
      </c>
      <c r="I4" s="2" t="s">
        <v>39</v>
      </c>
      <c r="J4" s="2" t="s">
        <v>40</v>
      </c>
      <c r="K4" s="2" t="s">
        <v>41</v>
      </c>
      <c r="L4" s="2" t="s">
        <v>24</v>
      </c>
      <c r="M4" s="2" t="s">
        <v>25</v>
      </c>
      <c r="N4" s="2" t="s">
        <v>42</v>
      </c>
      <c r="O4" s="4">
        <f t="shared" si="0"/>
        <v>1159.5999999999999</v>
      </c>
      <c r="P4" s="4">
        <f t="shared" si="1"/>
        <v>115.96</v>
      </c>
      <c r="Q4" s="4">
        <f t="shared" si="2"/>
        <v>1043.6399999999999</v>
      </c>
    </row>
    <row r="5" spans="1:17">
      <c r="A5" s="2" t="s">
        <v>43</v>
      </c>
      <c r="B5" s="3">
        <v>46238</v>
      </c>
      <c r="C5" s="2" t="s">
        <v>44</v>
      </c>
      <c r="D5" s="2" t="s">
        <v>45</v>
      </c>
      <c r="E5" s="2" t="s">
        <v>20</v>
      </c>
      <c r="F5" s="2">
        <v>3</v>
      </c>
      <c r="G5" s="4">
        <v>899.9</v>
      </c>
      <c r="H5" s="5">
        <v>0.05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42</v>
      </c>
      <c r="O5" s="4">
        <f t="shared" si="0"/>
        <v>2699.7</v>
      </c>
      <c r="P5" s="4">
        <f t="shared" si="1"/>
        <v>134.98499999999999</v>
      </c>
      <c r="Q5" s="4">
        <f t="shared" si="2"/>
        <v>2564.7149999999997</v>
      </c>
    </row>
    <row r="6" spans="1:17">
      <c r="A6" s="2" t="s">
        <v>51</v>
      </c>
      <c r="B6" s="3">
        <v>46239</v>
      </c>
      <c r="C6" s="2" t="s">
        <v>52</v>
      </c>
      <c r="D6" s="2" t="s">
        <v>53</v>
      </c>
      <c r="E6" s="2" t="s">
        <v>30</v>
      </c>
      <c r="F6" s="2">
        <v>5</v>
      </c>
      <c r="G6" s="4">
        <v>179.9</v>
      </c>
      <c r="H6" s="5">
        <v>0</v>
      </c>
      <c r="I6" s="2" t="s">
        <v>54</v>
      </c>
      <c r="J6" s="2" t="s">
        <v>55</v>
      </c>
      <c r="K6" s="2" t="s">
        <v>56</v>
      </c>
      <c r="L6" s="2" t="s">
        <v>34</v>
      </c>
      <c r="M6" s="2" t="s">
        <v>35</v>
      </c>
      <c r="N6" s="2" t="s">
        <v>26</v>
      </c>
      <c r="O6" s="4">
        <f t="shared" si="0"/>
        <v>899.5</v>
      </c>
      <c r="P6" s="4">
        <f t="shared" si="1"/>
        <v>0</v>
      </c>
      <c r="Q6" s="4">
        <f t="shared" si="2"/>
        <v>899.5</v>
      </c>
    </row>
    <row r="7" spans="1:17">
      <c r="A7" s="2" t="s">
        <v>57</v>
      </c>
      <c r="B7" s="3">
        <v>46240</v>
      </c>
      <c r="C7" s="2" t="s">
        <v>58</v>
      </c>
      <c r="D7" s="2" t="s">
        <v>59</v>
      </c>
      <c r="E7" s="2" t="s">
        <v>30</v>
      </c>
      <c r="F7" s="2">
        <v>6</v>
      </c>
      <c r="G7" s="4">
        <v>249.9</v>
      </c>
      <c r="H7" s="5">
        <v>0.08</v>
      </c>
      <c r="I7" s="2" t="s">
        <v>60</v>
      </c>
      <c r="J7" s="2" t="s">
        <v>40</v>
      </c>
      <c r="K7" s="2" t="s">
        <v>23</v>
      </c>
      <c r="L7" s="2" t="s">
        <v>34</v>
      </c>
      <c r="M7" s="2" t="s">
        <v>25</v>
      </c>
      <c r="N7" s="2" t="s">
        <v>42</v>
      </c>
      <c r="O7" s="4">
        <f t="shared" si="0"/>
        <v>1499.4</v>
      </c>
      <c r="P7" s="4">
        <f t="shared" si="1"/>
        <v>119.95200000000001</v>
      </c>
      <c r="Q7" s="4">
        <f t="shared" si="2"/>
        <v>1379.4480000000001</v>
      </c>
    </row>
    <row r="8" spans="1:17">
      <c r="A8" s="2" t="s">
        <v>61</v>
      </c>
      <c r="B8" s="3">
        <v>46241</v>
      </c>
      <c r="C8" s="2" t="s">
        <v>62</v>
      </c>
      <c r="D8" s="2" t="s">
        <v>63</v>
      </c>
      <c r="E8" s="2" t="s">
        <v>20</v>
      </c>
      <c r="F8" s="2">
        <v>4</v>
      </c>
      <c r="G8" s="4">
        <v>459.9</v>
      </c>
      <c r="H8" s="5">
        <v>0.03</v>
      </c>
      <c r="I8" s="2" t="s">
        <v>64</v>
      </c>
      <c r="J8" s="2" t="s">
        <v>22</v>
      </c>
      <c r="K8" s="2" t="s">
        <v>33</v>
      </c>
      <c r="L8" s="2" t="s">
        <v>24</v>
      </c>
      <c r="M8" s="2" t="s">
        <v>35</v>
      </c>
      <c r="N8" s="2" t="s">
        <v>26</v>
      </c>
      <c r="O8" s="4">
        <f t="shared" si="0"/>
        <v>1839.6</v>
      </c>
      <c r="P8" s="4">
        <f t="shared" si="1"/>
        <v>55.187999999999995</v>
      </c>
      <c r="Q8" s="4">
        <f>O8-P8</f>
        <v>1784.4119999999998</v>
      </c>
    </row>
    <row r="9" spans="1:17">
      <c r="A9" s="2" t="s">
        <v>65</v>
      </c>
      <c r="B9" s="3">
        <v>46242</v>
      </c>
      <c r="C9" s="2" t="s">
        <v>66</v>
      </c>
      <c r="D9" s="2" t="s">
        <v>67</v>
      </c>
      <c r="E9" s="2" t="s">
        <v>68</v>
      </c>
      <c r="F9" s="2">
        <v>2</v>
      </c>
      <c r="G9" s="4">
        <v>1299.9000000000001</v>
      </c>
      <c r="H9" s="5">
        <v>0.1</v>
      </c>
      <c r="I9" s="2" t="s">
        <v>69</v>
      </c>
      <c r="J9" s="2" t="s">
        <v>70</v>
      </c>
      <c r="K9" s="2" t="s">
        <v>41</v>
      </c>
      <c r="L9" s="2" t="s">
        <v>49</v>
      </c>
      <c r="M9" s="2" t="s">
        <v>50</v>
      </c>
      <c r="N9" s="2" t="s">
        <v>42</v>
      </c>
      <c r="O9" s="4">
        <f t="shared" si="0"/>
        <v>2599.8000000000002</v>
      </c>
      <c r="P9" s="4">
        <f t="shared" si="1"/>
        <v>259.98</v>
      </c>
      <c r="Q9" s="4">
        <f t="shared" si="2"/>
        <v>2339.8200000000002</v>
      </c>
    </row>
    <row r="10" spans="1:17">
      <c r="A10" s="2" t="s">
        <v>71</v>
      </c>
      <c r="B10" s="3">
        <v>46243</v>
      </c>
      <c r="C10" s="2" t="s">
        <v>28</v>
      </c>
      <c r="D10" s="2" t="s">
        <v>29</v>
      </c>
      <c r="E10" s="2" t="s">
        <v>30</v>
      </c>
      <c r="F10" s="2">
        <v>10</v>
      </c>
      <c r="G10" s="4">
        <v>119.9</v>
      </c>
      <c r="H10" s="5">
        <v>0.05</v>
      </c>
      <c r="I10" s="2" t="s">
        <v>72</v>
      </c>
      <c r="J10" s="2" t="s">
        <v>32</v>
      </c>
      <c r="K10" s="2" t="s">
        <v>48</v>
      </c>
      <c r="L10" s="2" t="s">
        <v>34</v>
      </c>
      <c r="M10" s="2" t="s">
        <v>35</v>
      </c>
      <c r="N10" s="2" t="s">
        <v>26</v>
      </c>
      <c r="O10" s="4">
        <f t="shared" si="0"/>
        <v>1199</v>
      </c>
      <c r="P10" s="4">
        <f t="shared" si="1"/>
        <v>59.95</v>
      </c>
      <c r="Q10" s="4">
        <f t="shared" si="2"/>
        <v>1139.05</v>
      </c>
    </row>
    <row r="11" spans="1:17">
      <c r="A11" s="2" t="s">
        <v>73</v>
      </c>
      <c r="B11" s="3">
        <v>46244</v>
      </c>
      <c r="C11" s="2" t="s">
        <v>44</v>
      </c>
      <c r="D11" s="2" t="s">
        <v>45</v>
      </c>
      <c r="E11" s="2" t="s">
        <v>20</v>
      </c>
      <c r="F11" s="2">
        <v>2</v>
      </c>
      <c r="G11" s="4">
        <v>899.9</v>
      </c>
      <c r="H11" s="5">
        <v>0</v>
      </c>
      <c r="I11" s="2" t="s">
        <v>74</v>
      </c>
      <c r="J11" s="2" t="s">
        <v>40</v>
      </c>
      <c r="K11" s="2" t="s">
        <v>56</v>
      </c>
      <c r="L11" s="2" t="s">
        <v>24</v>
      </c>
      <c r="M11" s="2" t="s">
        <v>25</v>
      </c>
      <c r="N11" s="2" t="s">
        <v>26</v>
      </c>
      <c r="O11" s="4">
        <f t="shared" si="0"/>
        <v>1799.8</v>
      </c>
      <c r="P11" s="4">
        <f t="shared" si="1"/>
        <v>0</v>
      </c>
      <c r="Q11" s="4">
        <f t="shared" si="2"/>
        <v>1799.8</v>
      </c>
    </row>
    <row r="12" spans="1:17">
      <c r="A12" s="2" t="s">
        <v>75</v>
      </c>
      <c r="B12" s="3">
        <v>46245</v>
      </c>
      <c r="C12" s="2" t="s">
        <v>18</v>
      </c>
      <c r="D12" s="2" t="s">
        <v>19</v>
      </c>
      <c r="E12" s="2" t="s">
        <v>20</v>
      </c>
      <c r="F12" s="2">
        <v>1</v>
      </c>
      <c r="G12" s="4">
        <v>3899.9</v>
      </c>
      <c r="H12" s="5">
        <v>7.0000000000000007E-2</v>
      </c>
      <c r="I12" s="2" t="s">
        <v>31</v>
      </c>
      <c r="J12" s="2" t="s">
        <v>32</v>
      </c>
      <c r="K12" s="2" t="s">
        <v>23</v>
      </c>
      <c r="L12" s="2" t="s">
        <v>49</v>
      </c>
      <c r="M12" s="2" t="s">
        <v>50</v>
      </c>
      <c r="N12" s="2" t="s">
        <v>42</v>
      </c>
      <c r="O12" s="4">
        <f t="shared" si="0"/>
        <v>3899.9</v>
      </c>
      <c r="P12" s="4">
        <f t="shared" si="1"/>
        <v>272.99300000000005</v>
      </c>
      <c r="Q12" s="4">
        <f t="shared" si="2"/>
        <v>3626.9070000000002</v>
      </c>
    </row>
    <row r="13" spans="1:17">
      <c r="A13" s="2" t="s">
        <v>76</v>
      </c>
      <c r="B13" s="3">
        <v>46246</v>
      </c>
      <c r="C13" s="2" t="s">
        <v>37</v>
      </c>
      <c r="D13" s="2" t="s">
        <v>38</v>
      </c>
      <c r="E13" s="2" t="s">
        <v>30</v>
      </c>
      <c r="F13" s="2">
        <v>7</v>
      </c>
      <c r="G13" s="4">
        <v>289.89999999999998</v>
      </c>
      <c r="H13" s="5">
        <v>0.05</v>
      </c>
      <c r="I13" s="2" t="s">
        <v>21</v>
      </c>
      <c r="J13" s="2" t="s">
        <v>22</v>
      </c>
      <c r="K13" s="2" t="s">
        <v>33</v>
      </c>
      <c r="L13" s="2" t="s">
        <v>34</v>
      </c>
      <c r="M13" s="2" t="s">
        <v>35</v>
      </c>
      <c r="N13" s="2" t="s">
        <v>26</v>
      </c>
      <c r="O13" s="4">
        <f t="shared" si="0"/>
        <v>2029.2999999999997</v>
      </c>
      <c r="P13" s="4">
        <f t="shared" si="1"/>
        <v>101.46499999999999</v>
      </c>
      <c r="Q13" s="4">
        <f t="shared" si="2"/>
        <v>1927.8349999999998</v>
      </c>
    </row>
    <row r="14" spans="1:17">
      <c r="A14" s="2" t="s">
        <v>77</v>
      </c>
      <c r="B14" s="3">
        <v>46247</v>
      </c>
      <c r="C14" s="2" t="s">
        <v>58</v>
      </c>
      <c r="D14" s="2" t="s">
        <v>59</v>
      </c>
      <c r="E14" s="2" t="s">
        <v>30</v>
      </c>
      <c r="F14" s="2">
        <v>3</v>
      </c>
      <c r="G14" s="4">
        <v>249.9</v>
      </c>
      <c r="H14" s="5">
        <v>0</v>
      </c>
      <c r="I14" s="2" t="s">
        <v>39</v>
      </c>
      <c r="J14" s="2" t="s">
        <v>40</v>
      </c>
      <c r="K14" s="2" t="s">
        <v>41</v>
      </c>
      <c r="L14" s="2" t="s">
        <v>24</v>
      </c>
      <c r="M14" s="2" t="s">
        <v>78</v>
      </c>
      <c r="N14" s="2" t="s">
        <v>26</v>
      </c>
      <c r="O14" s="4">
        <f t="shared" si="0"/>
        <v>749.7</v>
      </c>
      <c r="P14" s="4">
        <f t="shared" si="1"/>
        <v>0</v>
      </c>
      <c r="Q14" s="4">
        <f t="shared" si="2"/>
        <v>749.7</v>
      </c>
    </row>
    <row r="15" spans="1:17">
      <c r="A15" s="2" t="s">
        <v>79</v>
      </c>
      <c r="B15" s="3">
        <v>46248</v>
      </c>
      <c r="C15" s="2" t="s">
        <v>62</v>
      </c>
      <c r="D15" s="2" t="s">
        <v>63</v>
      </c>
      <c r="E15" s="2" t="s">
        <v>20</v>
      </c>
      <c r="F15" s="2">
        <v>5</v>
      </c>
      <c r="G15" s="4">
        <v>459.9</v>
      </c>
      <c r="H15" s="5">
        <v>0.12</v>
      </c>
      <c r="I15" s="2" t="s">
        <v>46</v>
      </c>
      <c r="J15" s="2" t="s">
        <v>47</v>
      </c>
      <c r="K15" s="2" t="s">
        <v>48</v>
      </c>
      <c r="L15" s="2" t="s">
        <v>49</v>
      </c>
      <c r="M15" s="2" t="s">
        <v>50</v>
      </c>
      <c r="N15" s="2" t="s">
        <v>42</v>
      </c>
      <c r="O15" s="4">
        <f t="shared" si="0"/>
        <v>2299.5</v>
      </c>
      <c r="P15" s="4">
        <f t="shared" si="1"/>
        <v>275.94</v>
      </c>
      <c r="Q15" s="4">
        <f t="shared" si="2"/>
        <v>2023.56</v>
      </c>
    </row>
    <row r="16" spans="1:17">
      <c r="A16" s="2" t="s">
        <v>80</v>
      </c>
      <c r="B16" s="3">
        <v>46249</v>
      </c>
      <c r="C16" s="2" t="s">
        <v>52</v>
      </c>
      <c r="D16" s="2" t="s">
        <v>53</v>
      </c>
      <c r="E16" s="2" t="s">
        <v>30</v>
      </c>
      <c r="F16" s="2">
        <v>9</v>
      </c>
      <c r="G16" s="4">
        <v>179.9</v>
      </c>
      <c r="H16" s="5">
        <v>0.05</v>
      </c>
      <c r="I16" s="2" t="s">
        <v>54</v>
      </c>
      <c r="J16" s="2" t="s">
        <v>55</v>
      </c>
      <c r="K16" s="2" t="s">
        <v>56</v>
      </c>
      <c r="L16" s="2" t="s">
        <v>34</v>
      </c>
      <c r="M16" s="2" t="s">
        <v>35</v>
      </c>
      <c r="N16" s="2" t="s">
        <v>26</v>
      </c>
      <c r="O16" s="4">
        <f t="shared" si="0"/>
        <v>1619.1000000000001</v>
      </c>
      <c r="P16" s="4">
        <f t="shared" si="1"/>
        <v>80.955000000000013</v>
      </c>
      <c r="Q16" s="4">
        <f t="shared" si="2"/>
        <v>1538.1450000000002</v>
      </c>
    </row>
    <row r="17" spans="1:17">
      <c r="A17" s="2" t="s">
        <v>81</v>
      </c>
      <c r="B17" s="3">
        <v>46250</v>
      </c>
      <c r="C17" s="2" t="s">
        <v>66</v>
      </c>
      <c r="D17" s="2" t="s">
        <v>67</v>
      </c>
      <c r="E17" s="2" t="s">
        <v>68</v>
      </c>
      <c r="F17" s="2">
        <v>3</v>
      </c>
      <c r="G17" s="4">
        <v>1299.9000000000001</v>
      </c>
      <c r="H17" s="5">
        <v>0.08</v>
      </c>
      <c r="I17" s="2" t="s">
        <v>60</v>
      </c>
      <c r="J17" s="2" t="s">
        <v>40</v>
      </c>
      <c r="K17" s="2" t="s">
        <v>23</v>
      </c>
      <c r="L17" s="2" t="s">
        <v>24</v>
      </c>
      <c r="M17" s="2" t="s">
        <v>25</v>
      </c>
      <c r="N17" s="2" t="s">
        <v>42</v>
      </c>
      <c r="O17" s="4">
        <f t="shared" si="0"/>
        <v>3899.7000000000003</v>
      </c>
      <c r="P17" s="4">
        <f t="shared" si="1"/>
        <v>311.97600000000006</v>
      </c>
      <c r="Q17" s="4">
        <f t="shared" si="2"/>
        <v>3587.7240000000002</v>
      </c>
    </row>
    <row r="18" spans="1:17">
      <c r="A18" s="2" t="s">
        <v>82</v>
      </c>
      <c r="B18" s="3">
        <v>46251</v>
      </c>
      <c r="C18" s="2" t="s">
        <v>44</v>
      </c>
      <c r="D18" s="2" t="s">
        <v>45</v>
      </c>
      <c r="E18" s="2" t="s">
        <v>20</v>
      </c>
      <c r="F18" s="2">
        <v>4</v>
      </c>
      <c r="G18" s="4">
        <v>899.9</v>
      </c>
      <c r="H18" s="5">
        <v>0.1</v>
      </c>
      <c r="I18" s="2" t="s">
        <v>64</v>
      </c>
      <c r="J18" s="2" t="s">
        <v>22</v>
      </c>
      <c r="K18" s="2" t="s">
        <v>33</v>
      </c>
      <c r="L18" s="2" t="s">
        <v>34</v>
      </c>
      <c r="M18" s="2" t="s">
        <v>25</v>
      </c>
      <c r="N18" s="2" t="s">
        <v>26</v>
      </c>
      <c r="O18" s="4">
        <f t="shared" si="0"/>
        <v>3599.6</v>
      </c>
      <c r="P18" s="4">
        <f t="shared" si="1"/>
        <v>359.96000000000004</v>
      </c>
      <c r="Q18" s="4">
        <f t="shared" si="2"/>
        <v>3239.64</v>
      </c>
    </row>
    <row r="19" spans="1:17">
      <c r="A19" s="2" t="s">
        <v>83</v>
      </c>
      <c r="B19" s="3">
        <v>46252</v>
      </c>
      <c r="C19" s="2" t="s">
        <v>28</v>
      </c>
      <c r="D19" s="2" t="s">
        <v>29</v>
      </c>
      <c r="E19" s="2" t="s">
        <v>30</v>
      </c>
      <c r="F19" s="2">
        <v>12</v>
      </c>
      <c r="G19" s="4">
        <v>119.9</v>
      </c>
      <c r="H19" s="5">
        <v>0</v>
      </c>
      <c r="I19" s="2" t="s">
        <v>69</v>
      </c>
      <c r="J19" s="2" t="s">
        <v>70</v>
      </c>
      <c r="K19" s="2" t="s">
        <v>41</v>
      </c>
      <c r="L19" s="2" t="s">
        <v>49</v>
      </c>
      <c r="M19" s="2" t="s">
        <v>50</v>
      </c>
      <c r="N19" s="2" t="s">
        <v>42</v>
      </c>
      <c r="O19" s="4">
        <f t="shared" si="0"/>
        <v>1438.8000000000002</v>
      </c>
      <c r="P19" s="4">
        <f t="shared" si="1"/>
        <v>0</v>
      </c>
      <c r="Q19" s="4">
        <f t="shared" si="2"/>
        <v>1438.8000000000002</v>
      </c>
    </row>
    <row r="20" spans="1:17">
      <c r="A20" s="2" t="s">
        <v>84</v>
      </c>
      <c r="B20" s="3">
        <v>46253</v>
      </c>
      <c r="C20" s="2" t="s">
        <v>18</v>
      </c>
      <c r="D20" s="2" t="s">
        <v>19</v>
      </c>
      <c r="E20" s="2" t="s">
        <v>20</v>
      </c>
      <c r="F20" s="2">
        <v>2</v>
      </c>
      <c r="G20" s="4">
        <v>3899.9</v>
      </c>
      <c r="H20" s="5">
        <v>0.05</v>
      </c>
      <c r="I20" s="2" t="s">
        <v>72</v>
      </c>
      <c r="J20" s="2" t="s">
        <v>32</v>
      </c>
      <c r="K20" s="2" t="s">
        <v>48</v>
      </c>
      <c r="L20" s="2" t="s">
        <v>34</v>
      </c>
      <c r="M20" s="2" t="s">
        <v>35</v>
      </c>
      <c r="N20" s="2" t="s">
        <v>26</v>
      </c>
      <c r="O20" s="4">
        <f t="shared" si="0"/>
        <v>7799.8</v>
      </c>
      <c r="P20" s="4">
        <f t="shared" si="1"/>
        <v>389.99</v>
      </c>
      <c r="Q20" s="4">
        <f t="shared" si="2"/>
        <v>7409.81</v>
      </c>
    </row>
    <row r="21" spans="1:17">
      <c r="A21" s="2" t="s">
        <v>85</v>
      </c>
      <c r="B21" s="3">
        <v>46254</v>
      </c>
      <c r="C21" s="2" t="s">
        <v>58</v>
      </c>
      <c r="D21" s="2" t="s">
        <v>59</v>
      </c>
      <c r="E21" s="2" t="s">
        <v>30</v>
      </c>
      <c r="F21" s="2">
        <v>5</v>
      </c>
      <c r="G21" s="4">
        <v>249.9</v>
      </c>
      <c r="H21" s="5">
        <v>0.1</v>
      </c>
      <c r="I21" s="2" t="s">
        <v>74</v>
      </c>
      <c r="J21" s="2" t="s">
        <v>40</v>
      </c>
      <c r="K21" s="2" t="s">
        <v>56</v>
      </c>
      <c r="L21" s="2" t="s">
        <v>24</v>
      </c>
      <c r="M21" s="2" t="s">
        <v>78</v>
      </c>
      <c r="N21" s="2" t="s">
        <v>26</v>
      </c>
      <c r="O21" s="4">
        <f t="shared" si="0"/>
        <v>1249.5</v>
      </c>
      <c r="P21" s="4">
        <f t="shared" si="1"/>
        <v>124.95</v>
      </c>
      <c r="Q21" s="4">
        <f t="shared" si="2"/>
        <v>1124.55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Clébson Souza</cp:lastModifiedBy>
  <dcterms:modified xsi:type="dcterms:W3CDTF">2026-10-02T18:52:00Z</dcterms:modified>
</cp:coreProperties>
</file>